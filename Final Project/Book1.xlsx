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Academic\SEM2\Database\Final Project\"/>
    </mc:Choice>
  </mc:AlternateContent>
  <xr:revisionPtr revIDLastSave="0" documentId="8_{C3CB2577-B687-4F48-8B82-4D2A35E3F527}" xr6:coauthVersionLast="47" xr6:coauthVersionMax="47" xr10:uidLastSave="{00000000-0000-0000-0000-000000000000}"/>
  <bookViews>
    <workbookView xWindow="-108" yWindow="-108" windowWidth="23256" windowHeight="12456" activeTab="1" xr2:uid="{9DC66C6A-C7BA-460F-B426-53581EB0F17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" i="1" l="1"/>
  <c r="E9" i="1"/>
  <c r="D9" i="1"/>
  <c r="E10" i="1"/>
  <c r="D10" i="1"/>
  <c r="D1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308C-3450-4B3C-8466-ED405A4E9CB5}">
  <dimension ref="C3:E32"/>
  <sheetViews>
    <sheetView workbookViewId="0">
      <selection activeCell="D9" sqref="D9"/>
    </sheetView>
  </sheetViews>
  <sheetFormatPr defaultRowHeight="15.6" x14ac:dyDescent="0.3"/>
  <sheetData>
    <row r="3" spans="3:5" x14ac:dyDescent="0.3">
      <c r="C3" s="1">
        <v>44184</v>
      </c>
    </row>
    <row r="4" spans="3:5" x14ac:dyDescent="0.3">
      <c r="C4" s="1">
        <v>21556</v>
      </c>
    </row>
    <row r="5" spans="3:5" x14ac:dyDescent="0.3">
      <c r="C5" s="1">
        <v>87097</v>
      </c>
    </row>
    <row r="6" spans="3:5" x14ac:dyDescent="0.3">
      <c r="C6" s="1">
        <v>79196</v>
      </c>
    </row>
    <row r="7" spans="3:5" x14ac:dyDescent="0.3">
      <c r="C7" s="1">
        <v>73513</v>
      </c>
    </row>
    <row r="8" spans="3:5" x14ac:dyDescent="0.3">
      <c r="C8" s="1">
        <v>51579</v>
      </c>
    </row>
    <row r="9" spans="3:5" x14ac:dyDescent="0.3">
      <c r="C9" s="1">
        <v>41868</v>
      </c>
      <c r="D9">
        <f>COUNTIF(C3:C32,"&gt;20000")</f>
        <v>29</v>
      </c>
      <c r="E9">
        <f>COUNTIF(C3:C32,"&lt;20000")</f>
        <v>1</v>
      </c>
    </row>
    <row r="10" spans="3:5" x14ac:dyDescent="0.3">
      <c r="C10" s="1">
        <v>37790</v>
      </c>
      <c r="D10">
        <f>SUMIF(C3:C32,"&gt;20000")</f>
        <v>2098297</v>
      </c>
      <c r="E10">
        <f>SUMIF(C3:C32,"&lt;20000")</f>
        <v>16703</v>
      </c>
    </row>
    <row r="11" spans="3:5" x14ac:dyDescent="0.3">
      <c r="C11" s="1">
        <v>125604</v>
      </c>
      <c r="D11">
        <f>SUM(C3:C32)</f>
        <v>2115000</v>
      </c>
      <c r="E11">
        <f>COUNT(C3:C32)</f>
        <v>30</v>
      </c>
    </row>
    <row r="12" spans="3:5" x14ac:dyDescent="0.3">
      <c r="C12" s="1">
        <v>23331</v>
      </c>
    </row>
    <row r="13" spans="3:5" x14ac:dyDescent="0.3">
      <c r="C13" s="1">
        <v>22811</v>
      </c>
    </row>
    <row r="14" spans="3:5" x14ac:dyDescent="0.3">
      <c r="C14" s="1">
        <v>39561</v>
      </c>
    </row>
    <row r="15" spans="3:5" x14ac:dyDescent="0.3">
      <c r="C15" s="1">
        <v>72314</v>
      </c>
    </row>
    <row r="16" spans="3:5" x14ac:dyDescent="0.3">
      <c r="C16" s="1">
        <v>75990</v>
      </c>
    </row>
    <row r="17" spans="3:3" x14ac:dyDescent="0.3">
      <c r="C17" s="1">
        <v>147475</v>
      </c>
    </row>
    <row r="18" spans="3:3" x14ac:dyDescent="0.3">
      <c r="C18" s="1">
        <v>21956</v>
      </c>
    </row>
    <row r="19" spans="3:3" x14ac:dyDescent="0.3">
      <c r="C19" s="1">
        <v>67124</v>
      </c>
    </row>
    <row r="20" spans="3:3" x14ac:dyDescent="0.3">
      <c r="C20" s="1">
        <v>124974</v>
      </c>
    </row>
    <row r="21" spans="3:3" x14ac:dyDescent="0.3">
      <c r="C21" s="1">
        <v>72787</v>
      </c>
    </row>
    <row r="22" spans="3:3" x14ac:dyDescent="0.3">
      <c r="C22" s="1">
        <v>132757</v>
      </c>
    </row>
    <row r="23" spans="3:3" x14ac:dyDescent="0.3">
      <c r="C23" s="1">
        <v>87926</v>
      </c>
    </row>
    <row r="24" spans="3:3" x14ac:dyDescent="0.3">
      <c r="C24" s="1">
        <v>16703</v>
      </c>
    </row>
    <row r="25" spans="3:3" x14ac:dyDescent="0.3">
      <c r="C25" s="1">
        <v>56853</v>
      </c>
    </row>
    <row r="26" spans="3:3" x14ac:dyDescent="0.3">
      <c r="C26" s="1">
        <v>125785</v>
      </c>
    </row>
    <row r="27" spans="3:3" x14ac:dyDescent="0.3">
      <c r="C27" s="1">
        <v>104194</v>
      </c>
    </row>
    <row r="28" spans="3:3" x14ac:dyDescent="0.3">
      <c r="C28" s="1">
        <v>87842</v>
      </c>
    </row>
    <row r="29" spans="3:3" x14ac:dyDescent="0.3">
      <c r="C29" s="1">
        <v>55758</v>
      </c>
    </row>
    <row r="30" spans="3:3" x14ac:dyDescent="0.3">
      <c r="C30" s="1">
        <v>71443</v>
      </c>
    </row>
    <row r="31" spans="3:3" x14ac:dyDescent="0.3">
      <c r="C31" s="1">
        <v>103236</v>
      </c>
    </row>
    <row r="32" spans="3:3" x14ac:dyDescent="0.3">
      <c r="C32" s="1">
        <v>41793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30553-633F-4EA9-9979-AE7065590079}">
  <dimension ref="A1"/>
  <sheetViews>
    <sheetView tabSelected="1"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Hossain, Md Alamgir</dc:creator>
  <cp:lastModifiedBy>Hossain, Md Alamgir</cp:lastModifiedBy>
  <dcterms:created xsi:type="dcterms:W3CDTF">2026-06-03T22:04:44Z</dcterms:created>
  <dcterms:modified xsi:type="dcterms:W3CDTF">2026-06-03T22:19:24Z</dcterms:modified>
</cp:coreProperties>
</file>